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e23ad10aa898d37/Área de Trabalho/"/>
    </mc:Choice>
  </mc:AlternateContent>
  <xr:revisionPtr revIDLastSave="0" documentId="8_{34EBEE13-1C00-432A-88FA-140483F6330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imulador" sheetId="1" r:id="rId1"/>
    <sheet name="Apoio" sheetId="2" r:id="rId2"/>
  </sheets>
  <definedNames>
    <definedName name="anos">Simulador!$C$14</definedName>
    <definedName name="aporte">Simulador!$C$13</definedName>
    <definedName name="aporte_sugerido">Simulador!#REF!</definedName>
    <definedName name="dividendos_mensais">Simulador!$C$18</definedName>
    <definedName name="lista_perfis">Apoio!$F$5:$F$7</definedName>
    <definedName name="patrimonio">Simulador!$C$15</definedName>
    <definedName name="perc_sugestao">Simulador!$C$10</definedName>
    <definedName name="perfil">Simulador!$C$30</definedName>
    <definedName name="salario">Simulador!$C$8</definedName>
    <definedName name="tabela_perfis">Apoio!$A$5:$D$22</definedName>
    <definedName name="taxa_mensal">Simulador!$C$9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E27" i="1" s="1"/>
  <c r="C27" i="1"/>
  <c r="C26" i="1"/>
  <c r="C25" i="1"/>
  <c r="C24" i="1"/>
  <c r="D23" i="1"/>
  <c r="E23" i="1" s="1"/>
  <c r="C23" i="1"/>
  <c r="C17" i="1"/>
  <c r="C13" i="1"/>
  <c r="C16" i="1" s="1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G7" i="2"/>
  <c r="H7" i="2" s="1"/>
  <c r="A7" i="2"/>
  <c r="G6" i="2"/>
  <c r="H6" i="2" s="1"/>
  <c r="A6" i="2"/>
  <c r="G5" i="2"/>
  <c r="H5" i="2" s="1"/>
  <c r="A5" i="2"/>
  <c r="C37" i="1"/>
  <c r="D37" i="1" s="1"/>
  <c r="C36" i="1"/>
  <c r="D36" i="1" s="1"/>
  <c r="C35" i="1"/>
  <c r="D35" i="1" s="1"/>
  <c r="C34" i="1"/>
  <c r="C33" i="1"/>
  <c r="D33" i="1" s="1"/>
  <c r="C32" i="1"/>
  <c r="D32" i="1" s="1"/>
  <c r="E26" i="1"/>
  <c r="E25" i="1"/>
  <c r="E24" i="1"/>
  <c r="C15" i="1"/>
  <c r="D34" i="1" l="1"/>
  <c r="D38" i="1" s="1"/>
  <c r="C18" i="1"/>
  <c r="B19" i="1" s="1"/>
  <c r="C38" i="1"/>
</calcChain>
</file>

<file path=xl/sharedStrings.xml><?xml version="1.0" encoding="utf-8"?>
<sst xmlns="http://schemas.openxmlformats.org/spreadsheetml/2006/main" count="96" uniqueCount="57">
  <si>
    <t>Meu Simulador de Fundos Imobiliários</t>
  </si>
  <si>
    <t>Descubra quanto o que você guarda hoje pode render amanhã</t>
  </si>
  <si>
    <t>Primeiro, conte um pouco sobre você</t>
  </si>
  <si>
    <t>Qual é o seu salário mensal?</t>
  </si>
  <si>
    <t>Quanto a sua carteira rende por mês?</t>
  </si>
  <si>
    <t>Agora, a sua simulação</t>
  </si>
  <si>
    <t>1. Quanto você vai investir por mês?</t>
  </si>
  <si>
    <t>2. Por quantos anos?</t>
  </si>
  <si>
    <t>E se você continuar por mais tempo?</t>
  </si>
  <si>
    <t>Patrimônio acumulado (R$)</t>
  </si>
  <si>
    <t>Dividendos por mês (R$)</t>
  </si>
  <si>
    <t>Como dividir o seu aporte?</t>
  </si>
  <si>
    <t>Qual é o seu perfil de investidor?</t>
  </si>
  <si>
    <t>Moderado</t>
  </si>
  <si>
    <t>Clique e escolha na lista</t>
  </si>
  <si>
    <t>Tipo de fundo</t>
  </si>
  <si>
    <t>Parte do aporte</t>
  </si>
  <si>
    <t>Quanto vai para ele (R$)</t>
  </si>
  <si>
    <t>Lajes Corporativas</t>
  </si>
  <si>
    <t>Logística</t>
  </si>
  <si>
    <t>Shoppings</t>
  </si>
  <si>
    <t>Papéis (CRI)</t>
  </si>
  <si>
    <t>Fundos de Fundos (FoF)</t>
  </si>
  <si>
    <t>Híbridos</t>
  </si>
  <si>
    <t>Total</t>
  </si>
  <si>
    <t>Como ler a planilha</t>
  </si>
  <si>
    <t>Amarela, texto azul: é com você, pode editar</t>
  </si>
  <si>
    <t>Cinza: a planilha calcula, não precisa mexer</t>
  </si>
  <si>
    <t>Apoio: de onde vêm os percentuais</t>
  </si>
  <si>
    <t>Percentuais de exemplo, ilustrativos. Use os seus: o importante é cada perfil somar 100%.</t>
  </si>
  <si>
    <t>A chave (coluna A) junta perfil e tipo para o PROCV achar o percentual certo.</t>
  </si>
  <si>
    <t>Chave (Perfil|Tipo)</t>
  </si>
  <si>
    <t>Perfil</t>
  </si>
  <si>
    <t>Percentual</t>
  </si>
  <si>
    <t>Soma</t>
  </si>
  <si>
    <t>Conferência</t>
  </si>
  <si>
    <t>Conservador</t>
  </si>
  <si>
    <t>Arrojado</t>
  </si>
  <si>
    <t>A lista de perfis do Simulador vem de F5:F7.</t>
  </si>
  <si>
    <t>Olá! Preencha os campos amarelos com número que se encaixem na sua realidade e descubra quanto de patrimônio e renda você pode alcançar. O campos em cinza a planilha calcula por você, te entregando projeçõe com base na sua realidade.</t>
  </si>
  <si>
    <t xml:space="preserve">Utilize uma taxa realista e disponível no mercado </t>
  </si>
  <si>
    <t>Exemplo: troque pelo valor que se encaixa a sua realidade</t>
  </si>
  <si>
    <t>Quanto do salário você quer investir?</t>
  </si>
  <si>
    <t>Qual % você vai retirar do seu salário religiosamente todos os meses para investir</t>
  </si>
  <si>
    <t>Equivalente em dinheiro do seu aporte mensal</t>
  </si>
  <si>
    <t>Por quanto tempo você pretende manter as premissas</t>
  </si>
  <si>
    <t>4. Quanto de patrimônio você pode alcançar</t>
  </si>
  <si>
    <t>O tamanho final do seu patrimônio seguindo as premissas</t>
  </si>
  <si>
    <t>A renda mensal que você pode ter na linha de chegada</t>
  </si>
  <si>
    <t>Tempo extra</t>
  </si>
  <si>
    <t>6. Quanto vai receber de dividendos por mês?</t>
  </si>
  <si>
    <t>5. Quanto saiu do seu bolso</t>
  </si>
  <si>
    <t>6. Quanto veio dos rendimentos</t>
  </si>
  <si>
    <t>O quanto você terá aportado do seu bolso no total</t>
  </si>
  <si>
    <t xml:space="preserve">O quanto foi gerado a partir dos retornos do investimento, considerando reaplicação </t>
  </si>
  <si>
    <t>Você terá investido do bolso (R$)</t>
  </si>
  <si>
    <t>Salário, taxa e percentuais são exemplos ilustrativos. Simulação é derivada de uma premisa estabelecida por você, esteja ciente das possíveis divergências tanto para o bem quanto para o 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</si>
</sst>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&quot; anos&quot;"/>
  </numFmts>
  <fonts count="13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1"/>
      <color rgb="FF2F6F5E"/>
      <name val="Arial"/>
      <charset val="1"/>
    </font>
    <font>
      <sz val="11"/>
      <color rgb="FF3B3B3B"/>
      <name val="Arial"/>
      <charset val="1"/>
    </font>
    <font>
      <b/>
      <sz val="12"/>
      <color rgb="FFFFFFFF"/>
      <name val="Arial"/>
      <charset val="1"/>
    </font>
    <font>
      <sz val="11"/>
      <color rgb="FF0000FF"/>
      <name val="Arial"/>
      <charset val="1"/>
    </font>
    <font>
      <i/>
      <sz val="9"/>
      <color rgb="FF6B6B6B"/>
      <name val="Arial"/>
      <charset val="1"/>
    </font>
    <font>
      <b/>
      <sz val="11"/>
      <color rgb="FF3B3B3B"/>
      <name val="Arial"/>
      <charset val="1"/>
    </font>
    <font>
      <b/>
      <sz val="12"/>
      <color rgb="FF2F6F5E"/>
      <name val="Arial"/>
      <charset val="1"/>
    </font>
    <font>
      <b/>
      <sz val="14"/>
      <color rgb="FFFFFFFF"/>
      <name val="Arial"/>
      <charset val="1"/>
    </font>
    <font>
      <sz val="11"/>
      <color rgb="FF3B3B3B"/>
      <name val="Arial"/>
      <family val="2"/>
    </font>
    <font>
      <i/>
      <sz val="9"/>
      <color rgb="FF6B6B6B"/>
      <name val="Arial"/>
      <family val="2"/>
    </font>
    <font>
      <b/>
      <sz val="11"/>
      <color rgb="FF3B3B3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6F5E"/>
        <bgColor rgb="FF008080"/>
      </patternFill>
    </fill>
    <fill>
      <patternFill patternType="solid">
        <fgColor rgb="FF5B9A7F"/>
        <bgColor rgb="FF808080"/>
      </patternFill>
    </fill>
    <fill>
      <patternFill patternType="solid">
        <fgColor rgb="FFFFF4D6"/>
        <bgColor rgb="FFF7F1E3"/>
      </patternFill>
    </fill>
    <fill>
      <patternFill patternType="solid">
        <fgColor rgb="FFEDEDED"/>
        <bgColor rgb="FFF7F1E3"/>
      </patternFill>
    </fill>
    <fill>
      <patternFill patternType="solid">
        <fgColor rgb="FFE2F0D9"/>
        <bgColor rgb="FFEDEDED"/>
      </patternFill>
    </fill>
    <fill>
      <patternFill patternType="solid">
        <fgColor rgb="FFF7F1E3"/>
        <bgColor rgb="FFFFF4D6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9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indent="1"/>
    </xf>
    <xf numFmtId="0" fontId="4" fillId="3" borderId="0" xfId="0" applyFont="1" applyFill="1"/>
    <xf numFmtId="0" fontId="3" fillId="0" borderId="1" xfId="0" applyFont="1" applyBorder="1" applyAlignment="1">
      <alignment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indent="1"/>
    </xf>
    <xf numFmtId="10" fontId="5" fillId="4" borderId="1" xfId="0" applyNumberFormat="1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164" fontId="7" fillId="5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indent="1"/>
    </xf>
    <xf numFmtId="0" fontId="12" fillId="0" borderId="1" xfId="0" applyFont="1" applyBorder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5E"/>
      <rgbColor rgb="FFC9C9C9"/>
      <rgbColor rgb="FF808080"/>
      <rgbColor rgb="FF9999FF"/>
      <rgbColor rgb="FF993366"/>
      <rgbColor rgb="FFFFF4D6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7F1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5B9A7F"/>
      <rgbColor rgb="FF003300"/>
      <rgbColor rgb="FF333300"/>
      <rgbColor rgb="FF993300"/>
      <rgbColor rgb="FF993366"/>
      <rgbColor rgb="FF333399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3"/>
  <sheetViews>
    <sheetView showGridLines="0" tabSelected="1" zoomScaleNormal="100" workbookViewId="0">
      <selection activeCell="B43" sqref="B43"/>
    </sheetView>
  </sheetViews>
  <sheetFormatPr defaultColWidth="8.7109375" defaultRowHeight="15" x14ac:dyDescent="0.25"/>
  <cols>
    <col min="1" max="1" width="2" customWidth="1"/>
    <col min="2" max="2" width="46" customWidth="1"/>
    <col min="3" max="3" width="24" customWidth="1"/>
    <col min="4" max="5" width="26" customWidth="1"/>
    <col min="6" max="6" width="2" customWidth="1"/>
  </cols>
  <sheetData>
    <row r="1" spans="2:5" ht="21.75" customHeight="1" x14ac:dyDescent="0.25">
      <c r="B1" s="5" t="s">
        <v>0</v>
      </c>
      <c r="C1" s="5"/>
      <c r="D1" s="5"/>
      <c r="E1" s="5"/>
    </row>
    <row r="2" spans="2:5" ht="21.75" customHeight="1" x14ac:dyDescent="0.25">
      <c r="B2" s="5"/>
      <c r="C2" s="5"/>
      <c r="D2" s="5"/>
      <c r="E2" s="5"/>
    </row>
    <row r="3" spans="2:5" ht="21.75" customHeight="1" x14ac:dyDescent="0.25">
      <c r="B3" s="5"/>
      <c r="C3" s="5"/>
      <c r="D3" s="5"/>
      <c r="E3" s="5"/>
    </row>
    <row r="4" spans="2:5" ht="21.75" customHeight="1" x14ac:dyDescent="0.25">
      <c r="B4" s="4" t="s">
        <v>1</v>
      </c>
      <c r="C4" s="4"/>
      <c r="D4" s="4"/>
      <c r="E4" s="4"/>
    </row>
    <row r="5" spans="2:5" ht="37.5" customHeight="1" x14ac:dyDescent="0.25">
      <c r="B5" s="3" t="s">
        <v>39</v>
      </c>
      <c r="C5" s="3"/>
      <c r="D5" s="3"/>
      <c r="E5" s="3"/>
    </row>
    <row r="7" spans="2:5" ht="21.75" customHeight="1" x14ac:dyDescent="0.25">
      <c r="B7" s="6" t="s">
        <v>2</v>
      </c>
      <c r="C7" s="7"/>
      <c r="D7" s="7"/>
      <c r="E7" s="7"/>
    </row>
    <row r="8" spans="2:5" x14ac:dyDescent="0.25">
      <c r="B8" s="8" t="s">
        <v>3</v>
      </c>
      <c r="C8" s="9">
        <v>5000</v>
      </c>
      <c r="D8" s="10" t="s">
        <v>41</v>
      </c>
    </row>
    <row r="9" spans="2:5" x14ac:dyDescent="0.25">
      <c r="B9" s="8" t="s">
        <v>4</v>
      </c>
      <c r="C9" s="11">
        <v>8.0000000000000002E-3</v>
      </c>
      <c r="D9" s="10" t="s">
        <v>40</v>
      </c>
    </row>
    <row r="10" spans="2:5" x14ac:dyDescent="0.25">
      <c r="B10" s="8" t="s">
        <v>42</v>
      </c>
      <c r="C10" s="12">
        <v>0.3</v>
      </c>
      <c r="D10" s="10" t="s">
        <v>43</v>
      </c>
    </row>
    <row r="12" spans="2:5" ht="21.75" customHeight="1" x14ac:dyDescent="0.25">
      <c r="B12" s="6" t="s">
        <v>5</v>
      </c>
      <c r="C12" s="7"/>
      <c r="D12" s="7"/>
      <c r="E12" s="7"/>
    </row>
    <row r="13" spans="2:5" x14ac:dyDescent="0.25">
      <c r="B13" s="8" t="s">
        <v>6</v>
      </c>
      <c r="C13" s="28">
        <f>salario*perc_sugestao</f>
        <v>1500</v>
      </c>
      <c r="D13" s="29" t="s">
        <v>44</v>
      </c>
    </row>
    <row r="14" spans="2:5" x14ac:dyDescent="0.25">
      <c r="B14" s="8" t="s">
        <v>7</v>
      </c>
      <c r="C14" s="14">
        <v>10</v>
      </c>
      <c r="D14" s="29" t="s">
        <v>45</v>
      </c>
    </row>
    <row r="15" spans="2:5" x14ac:dyDescent="0.25">
      <c r="B15" s="30" t="s">
        <v>46</v>
      </c>
      <c r="C15" s="16">
        <f>FV(taxa_mensal,anos*12,-aporte)</f>
        <v>300326.20411487721</v>
      </c>
      <c r="D15" s="29" t="s">
        <v>47</v>
      </c>
    </row>
    <row r="16" spans="2:5" x14ac:dyDescent="0.25">
      <c r="B16" s="30" t="s">
        <v>51</v>
      </c>
      <c r="C16" s="16">
        <f>aporte*anos*12</f>
        <v>180000</v>
      </c>
      <c r="D16" s="29" t="s">
        <v>53</v>
      </c>
    </row>
    <row r="17" spans="2:5" x14ac:dyDescent="0.25">
      <c r="B17" s="30" t="s">
        <v>52</v>
      </c>
      <c r="C17" s="16">
        <f>patrimonio-C16</f>
        <v>120326.20411487721</v>
      </c>
      <c r="D17" s="29" t="s">
        <v>54</v>
      </c>
    </row>
    <row r="18" spans="2:5" x14ac:dyDescent="0.25">
      <c r="B18" s="30" t="s">
        <v>50</v>
      </c>
      <c r="C18" s="16">
        <f>patrimonio*taxa_mensal</f>
        <v>2402.6096329190177</v>
      </c>
      <c r="D18" s="29" t="s">
        <v>48</v>
      </c>
    </row>
    <row r="19" spans="2:5" ht="49.5" customHeight="1" x14ac:dyDescent="0.25">
      <c r="B19" s="2" t="str">
        <f>"Investindo R$ "&amp;FIXED(aporte,2)&amp;" por mês durante "&amp;anos&amp;IF(anos=1," ano"," anos")&amp;", você pode chegar a R$ "&amp;FIXED(patrimonio,2)&amp;" e receber cerca de R$ "&amp;FIXED(dividendos_mensais,2)&amp;" por mês em dividendos."</f>
        <v>Investindo R$ 1.500,00 por mês durante 10 anos, você pode chegar a R$ 300.326,20 e receber cerca de R$ 2.402,61 por mês em dividendos.</v>
      </c>
      <c r="C19" s="2"/>
      <c r="D19" s="2"/>
      <c r="E19" s="2"/>
    </row>
    <row r="21" spans="2:5" ht="21.75" customHeight="1" x14ac:dyDescent="0.25">
      <c r="B21" s="6" t="s">
        <v>8</v>
      </c>
      <c r="C21" s="7"/>
      <c r="D21" s="7"/>
      <c r="E21" s="7"/>
    </row>
    <row r="22" spans="2:5" ht="31.5" customHeight="1" x14ac:dyDescent="0.25">
      <c r="B22" s="31" t="s">
        <v>49</v>
      </c>
      <c r="C22" s="31" t="s">
        <v>55</v>
      </c>
      <c r="D22" s="17" t="s">
        <v>9</v>
      </c>
      <c r="E22" s="17" t="s">
        <v>10</v>
      </c>
    </row>
    <row r="23" spans="2:5" x14ac:dyDescent="0.25">
      <c r="B23" s="18">
        <v>2</v>
      </c>
      <c r="C23" s="13">
        <f>aporte*B23*12+C16</f>
        <v>216000</v>
      </c>
      <c r="D23" s="13">
        <f>FV(taxa_mensal,B23*12,-aporte)+patrimonio</f>
        <v>339840.93678155658</v>
      </c>
      <c r="E23" s="13">
        <f>D23*taxa_mensal</f>
        <v>2718.7274942524527</v>
      </c>
    </row>
    <row r="24" spans="2:5" x14ac:dyDescent="0.25">
      <c r="B24" s="18">
        <v>5</v>
      </c>
      <c r="C24" s="13">
        <f>aporte*B24*12+C16</f>
        <v>270000</v>
      </c>
      <c r="D24" s="13">
        <f>FV(taxa_mensal,B24*12,-aporte)+patrimonio</f>
        <v>415262.00436269754</v>
      </c>
      <c r="E24" s="13">
        <f>D24*taxa_mensal</f>
        <v>3322.0960349015804</v>
      </c>
    </row>
    <row r="25" spans="2:5" x14ac:dyDescent="0.25">
      <c r="B25" s="18">
        <v>10</v>
      </c>
      <c r="C25" s="13">
        <f>aporte*B25*12+C16</f>
        <v>360000</v>
      </c>
      <c r="D25" s="13">
        <f>FV(taxa_mensal,B25*12,-aporte)+patrimonio</f>
        <v>600652.40822975442</v>
      </c>
      <c r="E25" s="13">
        <f>D25*taxa_mensal</f>
        <v>4805.2192658380354</v>
      </c>
    </row>
    <row r="26" spans="2:5" x14ac:dyDescent="0.25">
      <c r="B26" s="18">
        <v>20</v>
      </c>
      <c r="C26" s="13">
        <f>aporte*B26*12+C16</f>
        <v>540000</v>
      </c>
      <c r="D26" s="13">
        <f>FV(taxa_mensal,B26*12,-aporte)+patrimonio</f>
        <v>1382023.0330275698</v>
      </c>
      <c r="E26" s="13">
        <f>D26*taxa_mensal</f>
        <v>11056.184264220557</v>
      </c>
    </row>
    <row r="27" spans="2:5" x14ac:dyDescent="0.25">
      <c r="B27" s="18">
        <v>30</v>
      </c>
      <c r="C27" s="13">
        <f>aporte*B27*12+C16</f>
        <v>720000</v>
      </c>
      <c r="D27" s="13">
        <f>FV(taxa_mensal,B27*12,-aporte)+patrimonio</f>
        <v>3414946.0511715049</v>
      </c>
      <c r="E27" s="13">
        <f>D27*taxa_mensal</f>
        <v>27319.568409372041</v>
      </c>
    </row>
    <row r="29" spans="2:5" ht="21.75" customHeight="1" x14ac:dyDescent="0.25">
      <c r="B29" s="6" t="s">
        <v>11</v>
      </c>
      <c r="C29" s="7"/>
      <c r="D29" s="7"/>
      <c r="E29" s="7"/>
    </row>
    <row r="30" spans="2:5" x14ac:dyDescent="0.25">
      <c r="B30" s="15" t="s">
        <v>12</v>
      </c>
      <c r="C30" s="19" t="s">
        <v>37</v>
      </c>
      <c r="D30" s="10" t="s">
        <v>14</v>
      </c>
    </row>
    <row r="31" spans="2:5" x14ac:dyDescent="0.25">
      <c r="B31" s="17" t="s">
        <v>15</v>
      </c>
      <c r="C31" s="17" t="s">
        <v>16</v>
      </c>
      <c r="D31" s="17" t="s">
        <v>17</v>
      </c>
    </row>
    <row r="32" spans="2:5" x14ac:dyDescent="0.25">
      <c r="B32" s="8" t="s">
        <v>18</v>
      </c>
      <c r="C32" s="20">
        <f t="shared" ref="C32:C37" si="0">VLOOKUP(perfil&amp;"|"&amp;B32,tabela_perfis,4,FALSE())</f>
        <v>0.2</v>
      </c>
      <c r="D32" s="13">
        <f t="shared" ref="D32:D37" si="1">aporte*C32</f>
        <v>300</v>
      </c>
    </row>
    <row r="33" spans="2:4" x14ac:dyDescent="0.25">
      <c r="B33" s="8" t="s">
        <v>19</v>
      </c>
      <c r="C33" s="20">
        <f t="shared" si="0"/>
        <v>0.25</v>
      </c>
      <c r="D33" s="13">
        <f t="shared" si="1"/>
        <v>375</v>
      </c>
    </row>
    <row r="34" spans="2:4" x14ac:dyDescent="0.25">
      <c r="B34" s="8" t="s">
        <v>20</v>
      </c>
      <c r="C34" s="20">
        <f t="shared" si="0"/>
        <v>0.25</v>
      </c>
      <c r="D34" s="13">
        <f t="shared" si="1"/>
        <v>375</v>
      </c>
    </row>
    <row r="35" spans="2:4" x14ac:dyDescent="0.25">
      <c r="B35" s="8" t="s">
        <v>21</v>
      </c>
      <c r="C35" s="20">
        <f t="shared" si="0"/>
        <v>0.05</v>
      </c>
      <c r="D35" s="13">
        <f t="shared" si="1"/>
        <v>75</v>
      </c>
    </row>
    <row r="36" spans="2:4" x14ac:dyDescent="0.25">
      <c r="B36" s="8" t="s">
        <v>22</v>
      </c>
      <c r="C36" s="20">
        <f t="shared" si="0"/>
        <v>0.1</v>
      </c>
      <c r="D36" s="13">
        <f t="shared" si="1"/>
        <v>150</v>
      </c>
    </row>
    <row r="37" spans="2:4" x14ac:dyDescent="0.25">
      <c r="B37" s="8" t="s">
        <v>23</v>
      </c>
      <c r="C37" s="20">
        <f t="shared" si="0"/>
        <v>0.15</v>
      </c>
      <c r="D37" s="13">
        <f t="shared" si="1"/>
        <v>225</v>
      </c>
    </row>
    <row r="38" spans="2:4" x14ac:dyDescent="0.25">
      <c r="B38" s="21" t="s">
        <v>24</v>
      </c>
      <c r="C38" s="22">
        <f>SUM(C32:C37)</f>
        <v>1</v>
      </c>
      <c r="D38" s="16">
        <f>SUM(D32:D37)</f>
        <v>1500</v>
      </c>
    </row>
    <row r="40" spans="2:4" x14ac:dyDescent="0.25">
      <c r="B40" s="24" t="s">
        <v>25</v>
      </c>
    </row>
    <row r="41" spans="2:4" x14ac:dyDescent="0.25">
      <c r="B41" s="25" t="s">
        <v>26</v>
      </c>
    </row>
    <row r="42" spans="2:4" x14ac:dyDescent="0.25">
      <c r="B42" s="26" t="s">
        <v>27</v>
      </c>
    </row>
    <row r="43" spans="2:4" x14ac:dyDescent="0.25">
      <c r="B43" s="29" t="s">
        <v>56</v>
      </c>
    </row>
  </sheetData>
  <mergeCells count="4">
    <mergeCell ref="B1:E3"/>
    <mergeCell ref="B4:E4"/>
    <mergeCell ref="B5:E5"/>
    <mergeCell ref="B19:E19"/>
  </mergeCells>
  <dataValidations count="5">
    <dataValidation type="decimal" operator="greaterThanOrEqual" showErrorMessage="1" errorTitle="Quase lá" error="Informe um valor maior ou igual a zero." sqref="C8 C13" xr:uid="{00000000-0002-0000-0000-000000000000}">
      <formula1>0</formula1>
      <formula2>0</formula2>
    </dataValidation>
    <dataValidation type="decimal" showErrorMessage="1" errorTitle="Quase lá" error="Informe a taxa mensal em %, por exemplo 0,8%." sqref="C9" xr:uid="{00000000-0002-0000-0000-000001000000}">
      <formula1>0</formula1>
      <formula2>1</formula2>
    </dataValidation>
    <dataValidation type="decimal" showErrorMessage="1" errorTitle="Quase lá" error="Informe um percentual entre 0% e 100%." sqref="C10" xr:uid="{00000000-0002-0000-0000-000002000000}">
      <formula1>0</formula1>
      <formula2>1</formula2>
    </dataValidation>
    <dataValidation type="whole" showErrorMessage="1" errorTitle="Quase lá" error="Informe um número inteiro de anos, entre 1 e 60." sqref="C14" xr:uid="{00000000-0002-0000-0000-000003000000}">
      <formula1>1</formula1>
      <formula2>60</formula2>
    </dataValidation>
    <dataValidation type="list" showErrorMessage="1" errorTitle="Escolha na lista" error="Escolha um dos perfis da lista." sqref="C30" xr:uid="{00000000-0002-0000-0000-000004000000}">
      <formula1>lista_perfis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16" customWidth="1"/>
    <col min="3" max="3" width="26" customWidth="1"/>
    <col min="4" max="4" width="14" customWidth="1"/>
    <col min="5" max="5" width="3" customWidth="1"/>
    <col min="6" max="6" width="16" customWidth="1"/>
    <col min="7" max="7" width="12" customWidth="1"/>
    <col min="8" max="8" width="16" customWidth="1"/>
  </cols>
  <sheetData>
    <row r="1" spans="1:8" ht="27.75" customHeight="1" x14ac:dyDescent="0.25">
      <c r="A1" s="1" t="s">
        <v>28</v>
      </c>
      <c r="B1" s="1"/>
      <c r="C1" s="1"/>
      <c r="D1" s="1"/>
    </row>
    <row r="2" spans="1:8" x14ac:dyDescent="0.25">
      <c r="A2" s="10" t="s">
        <v>29</v>
      </c>
    </row>
    <row r="3" spans="1:8" x14ac:dyDescent="0.25">
      <c r="A3" s="10" t="s">
        <v>30</v>
      </c>
    </row>
    <row r="4" spans="1:8" x14ac:dyDescent="0.25">
      <c r="A4" s="17" t="s">
        <v>31</v>
      </c>
      <c r="B4" s="17" t="s">
        <v>32</v>
      </c>
      <c r="C4" s="17" t="s">
        <v>15</v>
      </c>
      <c r="D4" s="17" t="s">
        <v>33</v>
      </c>
      <c r="F4" s="17" t="s">
        <v>32</v>
      </c>
      <c r="G4" s="17" t="s">
        <v>34</v>
      </c>
      <c r="H4" s="17" t="s">
        <v>35</v>
      </c>
    </row>
    <row r="5" spans="1:8" x14ac:dyDescent="0.25">
      <c r="A5" s="27" t="str">
        <f t="shared" ref="A5:A22" si="0">B5&amp;"|"&amp;C5</f>
        <v>Conservador|Lajes Corporativas</v>
      </c>
      <c r="B5" s="25" t="s">
        <v>36</v>
      </c>
      <c r="C5" s="25" t="s">
        <v>18</v>
      </c>
      <c r="D5" s="12">
        <v>0.1</v>
      </c>
      <c r="F5" s="25" t="s">
        <v>36</v>
      </c>
      <c r="G5" s="20">
        <f>SUMIF($B$5:$B$22,F5,$D$5:$D$22)</f>
        <v>1</v>
      </c>
      <c r="H5" s="23" t="str">
        <f>IF(ROUND(G5,6)=1,"Tudo certo","Revisar")</f>
        <v>Tudo certo</v>
      </c>
    </row>
    <row r="6" spans="1:8" x14ac:dyDescent="0.25">
      <c r="A6" s="27" t="str">
        <f t="shared" si="0"/>
        <v>Conservador|Logística</v>
      </c>
      <c r="B6" s="25" t="s">
        <v>36</v>
      </c>
      <c r="C6" s="25" t="s">
        <v>19</v>
      </c>
      <c r="D6" s="12">
        <v>0.2</v>
      </c>
      <c r="F6" s="25" t="s">
        <v>13</v>
      </c>
      <c r="G6" s="20">
        <f>SUMIF($B$5:$B$22,F6,$D$5:$D$22)</f>
        <v>1</v>
      </c>
      <c r="H6" s="23" t="str">
        <f>IF(ROUND(G6,6)=1,"Tudo certo","Revisar")</f>
        <v>Tudo certo</v>
      </c>
    </row>
    <row r="7" spans="1:8" x14ac:dyDescent="0.25">
      <c r="A7" s="27" t="str">
        <f t="shared" si="0"/>
        <v>Conservador|Shoppings</v>
      </c>
      <c r="B7" s="25" t="s">
        <v>36</v>
      </c>
      <c r="C7" s="25" t="s">
        <v>20</v>
      </c>
      <c r="D7" s="12">
        <v>0.1</v>
      </c>
      <c r="F7" s="25" t="s">
        <v>37</v>
      </c>
      <c r="G7" s="20">
        <f>SUMIF($B$5:$B$22,F7,$D$5:$D$22)</f>
        <v>1</v>
      </c>
      <c r="H7" s="23" t="str">
        <f>IF(ROUND(G7,6)=1,"Tudo certo","Revisar")</f>
        <v>Tudo certo</v>
      </c>
    </row>
    <row r="8" spans="1:8" x14ac:dyDescent="0.25">
      <c r="A8" s="27" t="str">
        <f t="shared" si="0"/>
        <v>Conservador|Papéis (CRI)</v>
      </c>
      <c r="B8" s="25" t="s">
        <v>36</v>
      </c>
      <c r="C8" s="25" t="s">
        <v>21</v>
      </c>
      <c r="D8" s="12">
        <v>0.4</v>
      </c>
    </row>
    <row r="9" spans="1:8" x14ac:dyDescent="0.25">
      <c r="A9" s="27" t="str">
        <f t="shared" si="0"/>
        <v>Conservador|Fundos de Fundos (FoF)</v>
      </c>
      <c r="B9" s="25" t="s">
        <v>36</v>
      </c>
      <c r="C9" s="25" t="s">
        <v>22</v>
      </c>
      <c r="D9" s="12">
        <v>0.15</v>
      </c>
      <c r="F9" s="10" t="s">
        <v>38</v>
      </c>
    </row>
    <row r="10" spans="1:8" x14ac:dyDescent="0.25">
      <c r="A10" s="27" t="str">
        <f t="shared" si="0"/>
        <v>Conservador|Híbridos</v>
      </c>
      <c r="B10" s="25" t="s">
        <v>36</v>
      </c>
      <c r="C10" s="25" t="s">
        <v>23</v>
      </c>
      <c r="D10" s="12">
        <v>0.05</v>
      </c>
    </row>
    <row r="11" spans="1:8" x14ac:dyDescent="0.25">
      <c r="A11" s="27" t="str">
        <f t="shared" si="0"/>
        <v>Moderado|Lajes Corporativas</v>
      </c>
      <c r="B11" s="25" t="s">
        <v>13</v>
      </c>
      <c r="C11" s="25" t="s">
        <v>18</v>
      </c>
      <c r="D11" s="12">
        <v>0.15</v>
      </c>
    </row>
    <row r="12" spans="1:8" x14ac:dyDescent="0.25">
      <c r="A12" s="27" t="str">
        <f t="shared" si="0"/>
        <v>Moderado|Logística</v>
      </c>
      <c r="B12" s="25" t="s">
        <v>13</v>
      </c>
      <c r="C12" s="25" t="s">
        <v>19</v>
      </c>
      <c r="D12" s="12">
        <v>0.2</v>
      </c>
    </row>
    <row r="13" spans="1:8" x14ac:dyDescent="0.25">
      <c r="A13" s="27" t="str">
        <f t="shared" si="0"/>
        <v>Moderado|Shoppings</v>
      </c>
      <c r="B13" s="25" t="s">
        <v>13</v>
      </c>
      <c r="C13" s="25" t="s">
        <v>20</v>
      </c>
      <c r="D13" s="12">
        <v>0.2</v>
      </c>
    </row>
    <row r="14" spans="1:8" x14ac:dyDescent="0.25">
      <c r="A14" s="27" t="str">
        <f t="shared" si="0"/>
        <v>Moderado|Papéis (CRI)</v>
      </c>
      <c r="B14" s="25" t="s">
        <v>13</v>
      </c>
      <c r="C14" s="25" t="s">
        <v>21</v>
      </c>
      <c r="D14" s="12">
        <v>0.25</v>
      </c>
    </row>
    <row r="15" spans="1:8" x14ac:dyDescent="0.25">
      <c r="A15" s="27" t="str">
        <f t="shared" si="0"/>
        <v>Moderado|Fundos de Fundos (FoF)</v>
      </c>
      <c r="B15" s="25" t="s">
        <v>13</v>
      </c>
      <c r="C15" s="25" t="s">
        <v>22</v>
      </c>
      <c r="D15" s="12">
        <v>0.1</v>
      </c>
    </row>
    <row r="16" spans="1:8" x14ac:dyDescent="0.25">
      <c r="A16" s="27" t="str">
        <f t="shared" si="0"/>
        <v>Moderado|Híbridos</v>
      </c>
      <c r="B16" s="25" t="s">
        <v>13</v>
      </c>
      <c r="C16" s="25" t="s">
        <v>23</v>
      </c>
      <c r="D16" s="12">
        <v>0.1</v>
      </c>
    </row>
    <row r="17" spans="1:4" x14ac:dyDescent="0.25">
      <c r="A17" s="27" t="str">
        <f t="shared" si="0"/>
        <v>Arrojado|Lajes Corporativas</v>
      </c>
      <c r="B17" s="25" t="s">
        <v>37</v>
      </c>
      <c r="C17" s="25" t="s">
        <v>18</v>
      </c>
      <c r="D17" s="12">
        <v>0.2</v>
      </c>
    </row>
    <row r="18" spans="1:4" x14ac:dyDescent="0.25">
      <c r="A18" s="27" t="str">
        <f t="shared" si="0"/>
        <v>Arrojado|Logística</v>
      </c>
      <c r="B18" s="25" t="s">
        <v>37</v>
      </c>
      <c r="C18" s="25" t="s">
        <v>19</v>
      </c>
      <c r="D18" s="12">
        <v>0.25</v>
      </c>
    </row>
    <row r="19" spans="1:4" x14ac:dyDescent="0.25">
      <c r="A19" s="27" t="str">
        <f t="shared" si="0"/>
        <v>Arrojado|Shoppings</v>
      </c>
      <c r="B19" s="25" t="s">
        <v>37</v>
      </c>
      <c r="C19" s="25" t="s">
        <v>20</v>
      </c>
      <c r="D19" s="12">
        <v>0.25</v>
      </c>
    </row>
    <row r="20" spans="1:4" x14ac:dyDescent="0.25">
      <c r="A20" s="27" t="str">
        <f t="shared" si="0"/>
        <v>Arrojado|Papéis (CRI)</v>
      </c>
      <c r="B20" s="25" t="s">
        <v>37</v>
      </c>
      <c r="C20" s="25" t="s">
        <v>21</v>
      </c>
      <c r="D20" s="12">
        <v>0.05</v>
      </c>
    </row>
    <row r="21" spans="1:4" x14ac:dyDescent="0.25">
      <c r="A21" s="27" t="str">
        <f t="shared" si="0"/>
        <v>Arrojado|Fundos de Fundos (FoF)</v>
      </c>
      <c r="B21" s="25" t="s">
        <v>37</v>
      </c>
      <c r="C21" s="25" t="s">
        <v>22</v>
      </c>
      <c r="D21" s="12">
        <v>0.1</v>
      </c>
    </row>
    <row r="22" spans="1:4" x14ac:dyDescent="0.25">
      <c r="A22" s="27" t="str">
        <f t="shared" si="0"/>
        <v>Arrojado|Híbridos</v>
      </c>
      <c r="B22" s="25" t="s">
        <v>37</v>
      </c>
      <c r="C22" s="25" t="s">
        <v>23</v>
      </c>
      <c r="D22" s="12">
        <v>0.15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Simulador</vt:lpstr>
      <vt:lpstr>Apoio</vt:lpstr>
      <vt:lpstr>anos</vt:lpstr>
      <vt:lpstr>aporte</vt:lpstr>
      <vt:lpstr>dividendos_mensais</vt:lpstr>
      <vt:lpstr>lista_perfis</vt:lpstr>
      <vt:lpstr>patrimonio</vt:lpstr>
      <vt:lpstr>perc_sugestao</vt:lpstr>
      <vt:lpstr>perfil</vt:lpstr>
      <vt:lpstr>salario</vt:lpstr>
      <vt:lpstr>tabela_perfis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Henrique Torres de Camargo</cp:lastModifiedBy>
  <cp:revision>0</cp:revision>
  <dcterms:created xsi:type="dcterms:W3CDTF">2026-10-01T01:32:46Z</dcterms:created>
  <dcterms:modified xsi:type="dcterms:W3CDTF">2026-10-01T01:51:19Z</dcterms:modified>
  <dc:language>en-US</dc:language>
</cp:coreProperties>
</file>